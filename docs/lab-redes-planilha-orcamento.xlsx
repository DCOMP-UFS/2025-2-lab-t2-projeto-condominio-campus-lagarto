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equipamentos" sheetId="1" r:id="rId5"/>
    <sheet state="visible" name="Mapa de localização" sheetId="2" r:id="rId6"/>
    <sheet state="visible" name="Topologia" sheetId="3" r:id="rId7"/>
    <sheet state="visible" name="Cobertura Wi-Fi 2,4G" sheetId="4" r:id="rId8"/>
    <sheet state="visible" name="Cobertura Wi-Fi 5G" sheetId="5" r:id="rId9"/>
    <sheet state="visible" name="Cobertura Wi-Fi 6G" sheetId="6" r:id="rId10"/>
    <sheet state="visible" name="Diagrama de cablagem" sheetId="7" r:id="rId11"/>
  </sheets>
  <definedNames/>
  <calcPr/>
</workbook>
</file>

<file path=xl/sharedStrings.xml><?xml version="1.0" encoding="utf-8"?>
<sst xmlns="http://schemas.openxmlformats.org/spreadsheetml/2006/main" count="172" uniqueCount="94">
  <si>
    <r>
      <rPr>
        <rFont val="Times New Roman Light"/>
        <b/>
        <color rgb="FF000000"/>
        <sz val="12.0"/>
      </rPr>
      <t xml:space="preserve">Planta Baixa para lab-redes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</si>
  <si>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t/>
  </si>
  <si>
    <t>Tipo</t>
  </si>
  <si>
    <t>Tipo Dispositivo</t>
  </si>
  <si>
    <t>Ata vigente ID de contratação PNCP</t>
  </si>
  <si>
    <t>Descrição</t>
  </si>
  <si>
    <t>Marca</t>
  </si>
  <si>
    <t>Quantidade</t>
  </si>
  <si>
    <t>Cópia de Segurança</t>
  </si>
  <si>
    <t>Total</t>
  </si>
  <si>
    <t>Preço unitário</t>
  </si>
  <si>
    <t>Desconto</t>
  </si>
  <si>
    <t>Preço total</t>
  </si>
  <si>
    <t>ER706W-4G</t>
  </si>
  <si>
    <t>Roteador para gerenciamento MON iTORAMENTO E SEGURANÇA DE LINKS DE INTERNET</t>
  </si>
  <si>
    <t>07778585000114-1-000351/2025</t>
  </si>
  <si>
    <t xml:space="preserve">1.5.2.2.1. Frequência mínima da CPU 880 MHz, 1.5.2.12. CPU com 2 (dois) núcleos ou superar; 1.5.2.2.3. 256 MB de memória ou superior, 1.5.2.2.4. Mínimo de 5 (cinco) portas Ethernet 10/100/1000; 1.5.2.2.5. Suportar tensão de entrada 8-30V e entrada passiva Pot 1.5.2.2.6. Monitor de tenslo,Monotor de temperatura PCB; 1.5.2.17. Sistema operacional baseado em Linux; 1.5.2.2.8. Faixa de temperatura operacional -30 • 70 C; 1.5.2.2.9. Nivel de licença 4 ou supenot; 1.5.2.2.10. Consumo maximo de energia de 10W; 1.5.2.2.11. Armazenamento FLASH minimo de 16MB; 1.5.2.2.12 (um) Slot US8 tipo A; 1.5.2.3.13. Equipamento homologado pela ANATEL; 1.5.2.3.14. Garantia minima de 12 doze) meses pelo fabricante com envio de peças/equipamentos de reposição em até 5 (cinco) dias úteis; 1.5 2.3.15 Certficações CE/REO, EAC, ROLAS 1.5 2.3.16 Alimentação OC: 8-30V - 2 opções. conector OC. PoE-IN </t>
  </si>
  <si>
    <t>Mikrotic
Modelo: RB750Gr3</t>
  </si>
  <si>
    <t>0</t>
  </si>
  <si>
    <t>6</t>
  </si>
  <si>
    <t>0.00%</t>
  </si>
  <si>
    <t>SG5452XMPP</t>
  </si>
  <si>
    <t>SWITCH GERENCIÁVEL 48 PORTAS</t>
  </si>
  <si>
    <t>1.5.2.1.1.Tipo: Switch Ethernet Layer 2, gerenciável.
1.5.2.1.2. Portas de Acesso: 48 portas 10/100/1000 Mbps
RJ-45 (Gigabit Ethernet), com auto-negociação
e suporte a Auto MDI/MDI-X.
1.5.2.1.3. Portas Uplink: Mínimo de 4 portas SFP (1 Gbps)
ou combo RJ-45/SFP.
1.5.2.1.4.Capacidade de Comutação: Mínimo de 100
Gbps.
1.5.2.1.5.Taxa de Encaminhamento: Mínimo de 70 Mpps.
1.5.2.1.6.Tabela MAC Address: Mínimo de 8.000
entradas.
1.5.2.1.7.VLANs: Compatível com IEEE 802.1Q VLAN
tagging, suporte a no mínimo 256 VLANs
simultâneas.
1.5.2.1.8.Spanning Tree Protocol: STP (802.1D) e RSTP
(802.1w).
1.5.2.1.9. Priorização de tráfego baseada em IEEE 802.1p,
suporte a filas de prioridade.
1.5.2.1.10. Segurança: VLAN por porta, bloqueio de
portas (Port Security), controle de broadcast storm.
1.5.2.1.11.Gerenciamento: Interface Web, CLI via
Telnet/SSH, SNMP v1/v2c, suporte a Syslog.
1.5.2.1.12. Alimentação: Fonte interna bivolt automática
(110–220V).
1.5.2.1.13. Montagem: Suporte a rack 19” com kit de
fixação.
1.5.2.1.14. Garantia mínima de 12 (doze) meses pelo
fabricante com envio de peças/equipamentos de
reposição em até 5 (cinco) dias úteis;
1.5.2.1.15. Com homologação da Anatel;
1.5.2.1.16. Deverá vir acompanhado de: 01 (um) cabo de
forca de 10A com plug compatível com a Norma NBR
14136, 01 (um) kit para montagem em rack e conjunto de
documentação;
1.5.2.1.17. Deve ser fornecido com todas as licenças de
software necessárias para o funcionamento
integral de todas as funcionalidades disponíveis para o
equipamento;
1.5.2.1.18. Deve ser fornecido com a versão de software
mais completa disponível para o equipamento</t>
  </si>
  <si>
    <t xml:space="preserve"> DLINK
MODELO: DGS-1210-52</t>
  </si>
  <si>
    <t>1</t>
  </si>
  <si>
    <t>SG5428XF</t>
  </si>
  <si>
    <t>Switch GERENCIÁVEL 48 PORTAS</t>
  </si>
  <si>
    <t>EAP650</t>
  </si>
  <si>
    <t>Acess Point</t>
  </si>
  <si>
    <t>10735145000194-1-000240/2025</t>
  </si>
  <si>
    <t>Pontos de acesso
sem fio (Access
Points) de alto desempenho</t>
  </si>
  <si>
    <t xml:space="preserve">UBIQUITI
Modelo: Ubiquiti U7Pro </t>
  </si>
  <si>
    <t>CAT.6</t>
  </si>
  <si>
    <t>Cabo</t>
  </si>
  <si>
    <t>04892707000100-1-000453/2025</t>
  </si>
  <si>
    <t>CABO REDE COMPUTADOR;
MATERIAL REVESTIMENTO: PVC - CLORETO DE POLIVINILA;
MATERIAL CONDUTOR: COBRE;
BITOLA CONDUTOR: 23 AWG;
TIPO CONDUTOR: PAR TRANÇADO;
TIPO CABO: UTP DE 4 PARES;
COR: AZUL;
CATEGORIA: 6, CAT6</t>
  </si>
  <si>
    <t>50 m (165 ft)</t>
  </si>
  <si>
    <t>Servidor</t>
  </si>
  <si>
    <t>92966159000183-1-000029/2025</t>
  </si>
  <si>
    <t>Processador: Núcleos físicos:mínimo 20 núcleosThreads: mínimo 20 threads Cache: mínimo 66MB Clock Turbo: mínimo 5,2GHz Geração mais recente, processo de fabricação ativo Memória RAM: Tecnologia DDR5, 5.600 MT/s ou superior Capacidade: 16GB instalada (máximo 1 slot utilizado) Expansibilidade: mínimo 64GB Suporte Dual Channel, mínimo 2 slots Armazenamento: SSD NVMe PCIe x4 Gen4, capacidade mínima 512GB Velocidades mínimas: 2.500MB/s leitura / 1.800MB/s escrita Placa-mãe: Fabricação própria e exclusiva (não OEM) TPM 2.0 integrado de fábrica 4 USB frontais (1 USB-C) + 5 USB traseiras (4 USB-A + 1 USB-C 10Gbps) 2 saídas de vídeo digitais: HDMI e DisplayPort Solução de gerenciamento remoto avançada Gabinete: SFF, volume máximo 10.000cm³ Fonte 110/220V automática, 300W ou superior, eficiência 92% Abertura tool-less para módulos RAM 2 unidades por desktop Monitores: Tela: 21,5 polegadas, resolução 1920x1080 Base ajustável (rotação, inclinação, altura até 130mm) Conectividade: HDMI + DisplayPort + 2 USB Mesmo fabricante do computador (não OEM) Conformidade RoHS, ângulos de visão 178° 250 cd/m² Brilho: 0,28mm x 0,28mm Distância entre pixels: Contraste: 1000:1 Tempo de resposta: 8ms Suporte 99% sRGB ou 82% NTSC Windows 11 Professional 64 bits em português brasileiro Sistema Operacional: Windows 11 Professional 64 bits em português brasileiro</t>
  </si>
  <si>
    <t>DELL
Modelo: DELL PRO SLIM QCS1250</t>
  </si>
  <si>
    <t>PC</t>
  </si>
  <si>
    <t>Especificações: Fabricação própria e exclusiva (não OEM) Processador: 14 núcleos, 14 threads, Cache 50MB, Clock Turbo 5,0GHz Memória: DDR5- 5600, 16GB, expansibilidade 64GB Armazenamento: SSD NVMe PCIe x4 Gen4, 1TB Monitor: 1 unidade 21,5" (especificações conforme ITEM 01) Periféricos: Teclado ABNT-II USB, Mouse USB Sistema: Windows 11 Professional 64 bits</t>
  </si>
  <si>
    <t xml:space="preserve">DELL
Modelo: DELL PRO MICRO QCM1250
</t>
  </si>
  <si>
    <t>Ar condicionado</t>
  </si>
  <si>
    <t>10806496000149-1-000160/2025</t>
  </si>
  <si>
    <t>Ar condicionado 27000 BTUs</t>
  </si>
  <si>
    <t>Midea
Modelo: ZCK305BB</t>
  </si>
  <si>
    <t>No Break</t>
  </si>
  <si>
    <t>00394494000136-1-001096/2024-000001</t>
  </si>
  <si>
    <t>Nobreaks 1500 VA</t>
  </si>
  <si>
    <t xml:space="preserve">Total: </t>
  </si>
  <si>
    <r>
      <rPr>
        <rFont val="Times New Roman Light"/>
        <b/>
        <color rgb="FF000000"/>
        <sz val="12.0"/>
      </rPr>
      <t xml:space="preserve">Planta Baixa para lab-redes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</si>
  <si>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t>lab</t>
  </si>
  <si>
    <t>lab Mapa de localização</t>
  </si>
  <si>
    <t>lab Lista de dispositivos</t>
  </si>
  <si>
    <t>AP</t>
  </si>
  <si>
    <t>Nome do dispositivo</t>
  </si>
  <si>
    <t>Modelo</t>
  </si>
  <si>
    <t>Montagem</t>
  </si>
  <si>
    <t>Altura</t>
  </si>
  <si>
    <t>Ângulo</t>
  </si>
  <si>
    <t>Canal (2,4 GHz/5 GHz/6 GHz)</t>
  </si>
  <si>
    <t>Potência (2,4 GHz/5 GHz/6 GHz)</t>
  </si>
  <si>
    <t xml:space="preserve"> (1)</t>
  </si>
  <si>
    <t>Suporte de Teto</t>
  </si>
  <si>
    <t>4.6 m</t>
  </si>
  <si>
    <t>--</t>
  </si>
  <si>
    <t>1/36/-</t>
  </si>
  <si>
    <t>20 dBm/23 dBm/-</t>
  </si>
  <si>
    <t>Outros</t>
  </si>
  <si>
    <t>Categoria</t>
  </si>
  <si>
    <t>Gateway</t>
  </si>
  <si>
    <t xml:space="preserve"> (2)</t>
  </si>
  <si>
    <t xml:space="preserve"> (3)</t>
  </si>
  <si>
    <t xml:space="preserve"> (4)</t>
  </si>
  <si>
    <t xml:space="preserve"> (5)</t>
  </si>
  <si>
    <t xml:space="preserve"> (6)</t>
  </si>
  <si>
    <t xml:space="preserve"> (7)</t>
  </si>
  <si>
    <t>Switch</t>
  </si>
  <si>
    <t xml:space="preserve"> (8)</t>
  </si>
  <si>
    <t xml:space="preserve"> (9)</t>
  </si>
  <si>
    <t xml:space="preserve"> (10)</t>
  </si>
  <si>
    <t xml:space="preserve"> (11)</t>
  </si>
  <si>
    <t xml:space="preserve"> (12)</t>
  </si>
  <si>
    <t xml:space="preserve"> (13)</t>
  </si>
  <si>
    <r>
      <rPr>
        <rFont val="Times New Roman Light"/>
        <b/>
        <color rgb="FF000000"/>
        <sz val="12.0"/>
      </rPr>
      <t xml:space="preserve">Planta Baixa para lab-redes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</si>
  <si>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t>Acesse o link a seguir (válido por 7 dias) para obter uma topologia mais detalhada:</t>
  </si>
  <si>
    <r>
      <rPr>
        <rFont val="manrope"/>
        <color rgb="FF0000FF"/>
        <sz val="12.0"/>
        <u/>
      </rPr>
      <t>https://use1-design.tplinkcloud.com/#/share/topology/019c2422-e024-7b3b-8bde-9a0e7ea34022</t>
    </r>
  </si>
  <si>
    <r>
      <rPr>
        <rFont val="Times New Roman Light"/>
        <b/>
        <color rgb="FF000000"/>
        <sz val="12.0"/>
      </rPr>
      <t xml:space="preserve">Planta Baixa para lab-redes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</si>
  <si>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r>
      <rPr>
        <rFont val="Times New Roman Light"/>
        <b/>
        <color rgb="FF000000"/>
        <sz val="12.0"/>
      </rPr>
      <t xml:space="preserve">Planta Baixa para lab-redes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</si>
  <si>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r>
      <rPr>
        <rFont val="Times New Roman Light"/>
        <b/>
        <color rgb="FF000000"/>
        <sz val="12.0"/>
      </rPr>
      <t xml:space="preserve">Planta Baixa para lab-redes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</si>
  <si>
    <r>
      <rPr>
        <rFont val="Times New Roman Light"/>
        <b/>
        <color rgb="FF000000"/>
        <sz val="12.0"/>
      </rPr>
      <t xml:space="preserve">Planta Baixa para lab-redes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02/03/2026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</si>
</sst>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0">
    <font>
      <sz val="11.0"/>
      <color rgb="FF000000"/>
      <name val="Calibri"/>
      <scheme val="minor"/>
    </font>
    <font>
      <sz val="11.0"/>
      <color rgb="FF000000"/>
      <name val="Calibri"/>
    </font>
    <font>
      <sz val="8.0"/>
      <color theme="1"/>
      <name val="Manrope"/>
    </font>
    <font>
      <color theme="1"/>
      <name val="Calibri"/>
      <scheme val="minor"/>
    </font>
    <font>
      <sz val="16.0"/>
      <color theme="1"/>
      <name val="Manrope"/>
    </font>
    <font>
      <sz val="14.0"/>
      <color theme="1"/>
      <name val="Manrope"/>
    </font>
    <font>
      <sz val="11.0"/>
      <color theme="1"/>
      <name val="Manrope"/>
    </font>
    <font/>
    <font>
      <sz val="12.0"/>
      <color theme="1"/>
      <name val="Manrope"/>
    </font>
    <font>
      <u/>
      <sz val="12.0"/>
      <color rgb="FF0000FF"/>
      <name val="Manrope"/>
    </font>
  </fonts>
  <fills count="4">
    <fill>
      <patternFill patternType="none"/>
    </fill>
    <fill>
      <patternFill patternType="lightGray"/>
    </fill>
    <fill>
      <patternFill patternType="solid">
        <fgColor rgb="FFE1F5E1"/>
        <bgColor rgb="FFE1F5E1"/>
      </patternFill>
    </fill>
    <fill>
      <patternFill patternType="solid">
        <fgColor rgb="FFC3D7C3"/>
        <bgColor rgb="FFC3D7C3"/>
      </patternFill>
    </fill>
  </fills>
  <borders count="7">
    <border/>
    <border>
      <left/>
      <right/>
      <top/>
      <bottom/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right" vertical="center"/>
    </xf>
    <xf borderId="2" fillId="0" fontId="1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readingOrder="0"/>
    </xf>
    <xf borderId="2" fillId="0" fontId="2" numFmtId="4" xfId="0" applyAlignment="1" applyBorder="1" applyFont="1" applyNumberFormat="1">
      <alignment horizontal="left" shrinkToFit="0" vertical="center" wrapText="1"/>
    </xf>
    <xf borderId="2" fillId="0" fontId="2" numFmtId="164" xfId="0" applyAlignment="1" applyBorder="1" applyFont="1" applyNumberFormat="1">
      <alignment horizontal="right" readingOrder="0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2" fillId="0" fontId="2" numFmtId="16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readingOrder="0" vertical="center"/>
    </xf>
    <xf borderId="0" fillId="0" fontId="4" numFmtId="164" xfId="0" applyAlignment="1" applyFont="1" applyNumberFormat="1">
      <alignment horizontal="right" shrinkToFit="0" vertical="center" wrapText="1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1" fillId="3" fontId="1" numFmtId="0" xfId="0" applyAlignment="1" applyBorder="1" applyFill="1" applyFont="1">
      <alignment vertical="center"/>
    </xf>
    <xf borderId="3" fillId="3" fontId="2" numFmtId="0" xfId="0" applyAlignment="1" applyBorder="1" applyFont="1">
      <alignment horizontal="left" vertical="center"/>
    </xf>
    <xf borderId="4" fillId="0" fontId="7" numFmtId="0" xfId="0" applyBorder="1" applyFont="1"/>
    <xf borderId="5" fillId="0" fontId="7" numFmtId="0" xfId="0" applyBorder="1" applyFont="1"/>
    <xf borderId="3" fillId="2" fontId="2" numFmtId="0" xfId="0" applyAlignment="1" applyBorder="1" applyFont="1">
      <alignment horizontal="left" vertical="center"/>
    </xf>
    <xf borderId="2" fillId="0" fontId="7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6" fillId="0" fontId="7" numFmtId="0" xfId="0" applyBorder="1" applyFont="1"/>
    <xf borderId="6" fillId="0" fontId="9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jp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jpg"/><Relationship Id="rId3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jpg"/><Relationship Id="rId3" Type="http://schemas.openxmlformats.org/officeDocument/2006/relationships/image" Target="../media/image10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jpg"/><Relationship Id="rId3" Type="http://schemas.openxmlformats.org/officeDocument/2006/relationships/image" Target="../media/image14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jpg"/><Relationship Id="rId3" Type="http://schemas.openxmlformats.org/officeDocument/2006/relationships/image" Target="../media/image15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jpg"/><Relationship Id="rId3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552450" cy="552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552450" cy="55245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6591300" cy="4467225"/>
    <xdr:pic>
      <xdr:nvPicPr>
        <xdr:cNvPr descr="Picture"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52450" cy="5524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238375" cy="3810000"/>
    <xdr:pic>
      <xdr:nvPicPr>
        <xdr:cNvPr descr="Picture"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553575" cy="10734675"/>
    <xdr:pic>
      <xdr:nvPicPr>
        <xdr:cNvPr descr="Picture"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5657850" cy="3924300"/>
    <xdr:pic>
      <xdr:nvPicPr>
        <xdr:cNvPr descr="Picture"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5657850" cy="3924300"/>
    <xdr:pic>
      <xdr:nvPicPr>
        <xdr:cNvPr descr="Picture"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5657850" cy="3924300"/>
    <xdr:pic>
      <xdr:nvPicPr>
        <xdr:cNvPr descr="Picture"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838200" cy="914400"/>
    <xdr:pic>
      <xdr:nvPicPr>
        <xdr:cNvPr descr="Picture" id="0" name="image1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5657850" cy="3924300"/>
    <xdr:pic>
      <xdr:nvPicPr>
        <xdr:cNvPr descr="Picture" id="0" name="image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se1-design.tplinkcloud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5" width="13.0"/>
    <col customWidth="1" min="6" max="6" width="28.0"/>
    <col customWidth="1" min="7" max="8" width="26.0"/>
    <col customWidth="1" min="9" max="9" width="8.71"/>
    <col customWidth="1" min="10" max="10" width="10.29"/>
    <col customWidth="1" min="11" max="11" width="15.43"/>
    <col customWidth="1" min="12" max="12" width="8.71"/>
    <col customWidth="1" min="13" max="13" width="11.29"/>
    <col customWidth="1" min="14" max="14" width="8.71"/>
    <col customWidth="1" min="15" max="15" width="21.71"/>
    <col customWidth="1" min="16" max="28" width="8.71"/>
  </cols>
  <sheetData>
    <row r="1" ht="116.25" customHeight="1">
      <c r="A1" s="1"/>
      <c r="D1" s="1"/>
      <c r="G1" s="2" t="s">
        <v>0</v>
      </c>
    </row>
    <row r="2" ht="15.75" customHeight="1">
      <c r="A2" s="1" t="s">
        <v>1</v>
      </c>
    </row>
    <row r="3" ht="23.25" customHeight="1">
      <c r="A3" s="3" t="s">
        <v>1</v>
      </c>
      <c r="B3" s="3" t="s">
        <v>1</v>
      </c>
      <c r="C3" s="3" t="s">
        <v>1</v>
      </c>
      <c r="D3" s="3" t="s">
        <v>2</v>
      </c>
      <c r="E3" s="4" t="s">
        <v>3</v>
      </c>
      <c r="F3" s="4" t="s">
        <v>4</v>
      </c>
      <c r="G3" s="3" t="s">
        <v>5</v>
      </c>
      <c r="H3" s="4" t="s">
        <v>6</v>
      </c>
      <c r="I3" s="3" t="s">
        <v>1</v>
      </c>
      <c r="J3" s="3" t="s">
        <v>7</v>
      </c>
      <c r="K3" s="3" t="s">
        <v>8</v>
      </c>
      <c r="L3" s="3" t="s">
        <v>9</v>
      </c>
      <c r="M3" s="5" t="s">
        <v>10</v>
      </c>
      <c r="N3" s="5" t="s">
        <v>11</v>
      </c>
      <c r="O3" s="5" t="s">
        <v>12</v>
      </c>
    </row>
    <row r="4" ht="43.5" customHeight="1">
      <c r="A4" s="6"/>
      <c r="B4" s="6"/>
      <c r="C4" s="6"/>
      <c r="D4" s="7" t="s">
        <v>13</v>
      </c>
      <c r="E4" s="8" t="s">
        <v>14</v>
      </c>
      <c r="F4" s="9" t="s">
        <v>15</v>
      </c>
      <c r="G4" s="8" t="s">
        <v>16</v>
      </c>
      <c r="H4" s="8" t="s">
        <v>17</v>
      </c>
      <c r="I4" s="6"/>
      <c r="J4" s="10">
        <v>6.0</v>
      </c>
      <c r="K4" s="7" t="s">
        <v>18</v>
      </c>
      <c r="L4" s="7" t="s">
        <v>19</v>
      </c>
      <c r="M4" s="11">
        <v>592.14</v>
      </c>
      <c r="N4" s="12" t="s">
        <v>20</v>
      </c>
      <c r="O4" s="13">
        <f t="shared" ref="O4:O7" si="1">PRODUCT(J4,M4)</f>
        <v>3552.84</v>
      </c>
    </row>
    <row r="5" ht="43.5" customHeight="1">
      <c r="A5" s="6"/>
      <c r="B5" s="6"/>
      <c r="C5" s="6"/>
      <c r="D5" s="7" t="s">
        <v>21</v>
      </c>
      <c r="E5" s="8" t="s">
        <v>22</v>
      </c>
      <c r="F5" s="9" t="s">
        <v>15</v>
      </c>
      <c r="G5" s="8" t="s">
        <v>23</v>
      </c>
      <c r="H5" s="8" t="s">
        <v>24</v>
      </c>
      <c r="I5" s="6"/>
      <c r="J5" s="10">
        <v>1.0</v>
      </c>
      <c r="K5" s="7" t="s">
        <v>18</v>
      </c>
      <c r="L5" s="7" t="s">
        <v>25</v>
      </c>
      <c r="M5" s="11">
        <v>1834.0</v>
      </c>
      <c r="N5" s="12" t="s">
        <v>20</v>
      </c>
      <c r="O5" s="13">
        <f t="shared" si="1"/>
        <v>1834</v>
      </c>
    </row>
    <row r="6" ht="43.5" customHeight="1">
      <c r="A6" s="6"/>
      <c r="B6" s="6"/>
      <c r="C6" s="6"/>
      <c r="D6" s="7" t="s">
        <v>26</v>
      </c>
      <c r="E6" s="8" t="s">
        <v>27</v>
      </c>
      <c r="F6" s="9" t="s">
        <v>15</v>
      </c>
      <c r="G6" s="8" t="s">
        <v>23</v>
      </c>
      <c r="H6" s="8" t="s">
        <v>24</v>
      </c>
      <c r="I6" s="6"/>
      <c r="J6" s="10">
        <v>6.0</v>
      </c>
      <c r="K6" s="7" t="s">
        <v>18</v>
      </c>
      <c r="L6" s="7" t="s">
        <v>19</v>
      </c>
      <c r="M6" s="11">
        <v>1834.0</v>
      </c>
      <c r="N6" s="12" t="s">
        <v>20</v>
      </c>
      <c r="O6" s="13">
        <f t="shared" si="1"/>
        <v>11004</v>
      </c>
    </row>
    <row r="7" ht="43.5" customHeight="1">
      <c r="A7" s="6"/>
      <c r="B7" s="6"/>
      <c r="C7" s="6"/>
      <c r="D7" s="7" t="s">
        <v>28</v>
      </c>
      <c r="E7" s="8" t="s">
        <v>29</v>
      </c>
      <c r="F7" s="9" t="s">
        <v>30</v>
      </c>
      <c r="G7" s="8" t="s">
        <v>31</v>
      </c>
      <c r="H7" s="8" t="s">
        <v>32</v>
      </c>
      <c r="I7" s="6"/>
      <c r="J7" s="10">
        <v>1.0</v>
      </c>
      <c r="K7" s="7" t="s">
        <v>18</v>
      </c>
      <c r="L7" s="7" t="s">
        <v>25</v>
      </c>
      <c r="M7" s="11">
        <v>1698.99</v>
      </c>
      <c r="N7" s="12" t="s">
        <v>20</v>
      </c>
      <c r="O7" s="13">
        <f t="shared" si="1"/>
        <v>1698.99</v>
      </c>
    </row>
    <row r="8" ht="43.5" customHeight="1">
      <c r="A8" s="6"/>
      <c r="B8" s="6"/>
      <c r="C8" s="6"/>
      <c r="D8" s="7" t="s">
        <v>33</v>
      </c>
      <c r="E8" s="8" t="s">
        <v>34</v>
      </c>
      <c r="F8" s="9" t="s">
        <v>35</v>
      </c>
      <c r="G8" s="8" t="s">
        <v>36</v>
      </c>
      <c r="H8" s="7"/>
      <c r="I8" s="6"/>
      <c r="J8" s="10" t="s">
        <v>37</v>
      </c>
      <c r="K8" s="7" t="s">
        <v>18</v>
      </c>
      <c r="L8" s="7" t="s">
        <v>37</v>
      </c>
      <c r="M8" s="11">
        <v>2.4</v>
      </c>
      <c r="N8" s="12" t="s">
        <v>20</v>
      </c>
      <c r="O8" s="13">
        <f>PRODUCT(2.4,50)</f>
        <v>120</v>
      </c>
    </row>
    <row r="9" ht="28.5" customHeight="1">
      <c r="E9" s="14" t="s">
        <v>38</v>
      </c>
      <c r="F9" s="14" t="s">
        <v>39</v>
      </c>
      <c r="G9" s="14" t="s">
        <v>40</v>
      </c>
      <c r="H9" s="14" t="s">
        <v>41</v>
      </c>
      <c r="J9" s="15">
        <v>4.0</v>
      </c>
      <c r="M9" s="16">
        <v>8290.0</v>
      </c>
      <c r="O9" s="13">
        <f t="shared" ref="O9:O12" si="2">PRODUCT(J9,M9)</f>
        <v>33160</v>
      </c>
    </row>
    <row r="10" ht="27.75" customHeight="1">
      <c r="E10" s="14" t="s">
        <v>42</v>
      </c>
      <c r="F10" s="14" t="s">
        <v>39</v>
      </c>
      <c r="G10" s="14" t="s">
        <v>43</v>
      </c>
      <c r="H10" s="14" t="s">
        <v>44</v>
      </c>
      <c r="J10" s="15">
        <v>19.0</v>
      </c>
      <c r="K10" s="17"/>
      <c r="M10" s="18">
        <v>6200.0</v>
      </c>
      <c r="O10" s="13">
        <f t="shared" si="2"/>
        <v>117800</v>
      </c>
    </row>
    <row r="11" ht="26.25" customHeight="1">
      <c r="E11" s="14" t="s">
        <v>45</v>
      </c>
      <c r="F11" s="14" t="s">
        <v>46</v>
      </c>
      <c r="G11" s="14" t="s">
        <v>47</v>
      </c>
      <c r="H11" s="14" t="s">
        <v>48</v>
      </c>
      <c r="J11" s="15">
        <v>6.0</v>
      </c>
      <c r="M11" s="16">
        <v>4864.12</v>
      </c>
      <c r="O11" s="13">
        <f t="shared" si="2"/>
        <v>29184.72</v>
      </c>
    </row>
    <row r="12" ht="29.25" customHeight="1">
      <c r="E12" s="14" t="s">
        <v>49</v>
      </c>
      <c r="F12" s="14" t="s">
        <v>50</v>
      </c>
      <c r="G12" s="14" t="s">
        <v>51</v>
      </c>
      <c r="J12" s="15">
        <v>7.0</v>
      </c>
      <c r="M12" s="16">
        <v>679.11</v>
      </c>
      <c r="O12" s="13">
        <f t="shared" si="2"/>
        <v>4753.77</v>
      </c>
    </row>
    <row r="13" ht="34.5" customHeight="1">
      <c r="A13" s="17" t="s">
        <v>52</v>
      </c>
      <c r="O13" s="19">
        <f>SUM(O4:O12)</f>
        <v>203108.32</v>
      </c>
    </row>
    <row r="14" ht="20.25" customHeight="1">
      <c r="A14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D1:F1"/>
    <mergeCell ref="G1:O1"/>
    <mergeCell ref="A2:O2"/>
    <mergeCell ref="A14:O14"/>
    <mergeCell ref="A13:N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8.0"/>
    <col customWidth="1" min="5" max="8" width="8.71"/>
    <col customWidth="1" min="9" max="10" width="23.0"/>
    <col customWidth="1" min="11" max="26" width="8.71"/>
  </cols>
  <sheetData>
    <row r="1" ht="116.25" customHeight="1">
      <c r="A1" s="1"/>
      <c r="F1" s="2" t="s">
        <v>53</v>
      </c>
    </row>
    <row r="2" ht="14.25" customHeight="1">
      <c r="A2" s="1" t="s">
        <v>1</v>
      </c>
    </row>
    <row r="3" ht="36.75" customHeight="1">
      <c r="A3" s="20" t="s">
        <v>54</v>
      </c>
    </row>
    <row r="4" ht="28.5" customHeight="1">
      <c r="A4" s="21" t="s">
        <v>55</v>
      </c>
    </row>
    <row r="5" ht="351.75" customHeight="1">
      <c r="A5" s="1"/>
    </row>
    <row r="6" ht="14.25" customHeight="1">
      <c r="A6" s="1" t="s">
        <v>1</v>
      </c>
    </row>
    <row r="7" ht="28.5" customHeight="1">
      <c r="A7" s="21" t="s">
        <v>56</v>
      </c>
    </row>
    <row r="8" ht="17.25" customHeight="1">
      <c r="A8" s="22"/>
      <c r="B8" s="23" t="s">
        <v>57</v>
      </c>
      <c r="C8" s="24"/>
      <c r="D8" s="24"/>
      <c r="E8" s="24"/>
      <c r="F8" s="24"/>
      <c r="G8" s="24"/>
      <c r="H8" s="24"/>
      <c r="I8" s="24"/>
      <c r="J8" s="25"/>
    </row>
    <row r="9" ht="23.25" customHeight="1">
      <c r="A9" s="3"/>
      <c r="B9" s="3"/>
      <c r="C9" s="3"/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</row>
    <row r="10" ht="43.5" customHeight="1">
      <c r="A10" s="7" t="s">
        <v>65</v>
      </c>
      <c r="B10" s="6"/>
      <c r="C10" s="6"/>
      <c r="D10" s="7" t="s">
        <v>28</v>
      </c>
      <c r="E10" s="7" t="s">
        <v>28</v>
      </c>
      <c r="F10" s="7" t="s">
        <v>66</v>
      </c>
      <c r="G10" s="7" t="s">
        <v>67</v>
      </c>
      <c r="H10" s="7" t="s">
        <v>68</v>
      </c>
      <c r="I10" s="7" t="s">
        <v>69</v>
      </c>
      <c r="J10" s="7" t="s">
        <v>70</v>
      </c>
    </row>
    <row r="11" ht="17.25" customHeight="1">
      <c r="A11" s="22"/>
      <c r="B11" s="23" t="s">
        <v>71</v>
      </c>
      <c r="C11" s="24"/>
      <c r="D11" s="24"/>
      <c r="E11" s="24"/>
      <c r="F11" s="24"/>
      <c r="G11" s="24"/>
      <c r="H11" s="24"/>
      <c r="I11" s="24"/>
      <c r="J11" s="25"/>
    </row>
    <row r="12" ht="23.25" customHeight="1">
      <c r="A12" s="3"/>
      <c r="B12" s="3"/>
      <c r="C12" s="3"/>
      <c r="D12" s="3" t="s">
        <v>58</v>
      </c>
      <c r="E12" s="3" t="s">
        <v>72</v>
      </c>
      <c r="F12" s="26" t="s">
        <v>59</v>
      </c>
      <c r="G12" s="24"/>
      <c r="H12" s="24"/>
      <c r="I12" s="24"/>
      <c r="J12" s="25"/>
    </row>
    <row r="13" ht="43.5" customHeight="1">
      <c r="A13" s="7" t="s">
        <v>65</v>
      </c>
      <c r="B13" s="6"/>
      <c r="C13" s="6"/>
      <c r="D13" s="7" t="s">
        <v>13</v>
      </c>
      <c r="E13" s="7" t="s">
        <v>73</v>
      </c>
      <c r="F13" s="7" t="s">
        <v>13</v>
      </c>
      <c r="G13" s="27"/>
      <c r="H13" s="27"/>
      <c r="I13" s="27"/>
      <c r="J13" s="27"/>
    </row>
    <row r="14" ht="43.5" customHeight="1">
      <c r="A14" s="7" t="s">
        <v>74</v>
      </c>
      <c r="B14" s="6"/>
      <c r="C14" s="6"/>
      <c r="D14" s="7" t="s">
        <v>13</v>
      </c>
      <c r="E14" s="7" t="s">
        <v>73</v>
      </c>
      <c r="F14" s="7" t="s">
        <v>13</v>
      </c>
      <c r="G14" s="27"/>
      <c r="H14" s="27"/>
      <c r="I14" s="27"/>
      <c r="J14" s="27"/>
    </row>
    <row r="15" ht="43.5" customHeight="1">
      <c r="A15" s="7" t="s">
        <v>75</v>
      </c>
      <c r="B15" s="6"/>
      <c r="C15" s="6"/>
      <c r="D15" s="7" t="s">
        <v>13</v>
      </c>
      <c r="E15" s="7" t="s">
        <v>73</v>
      </c>
      <c r="F15" s="7" t="s">
        <v>13</v>
      </c>
      <c r="G15" s="27"/>
      <c r="H15" s="27"/>
      <c r="I15" s="27"/>
      <c r="J15" s="27"/>
    </row>
    <row r="16" ht="43.5" customHeight="1">
      <c r="A16" s="7" t="s">
        <v>76</v>
      </c>
      <c r="B16" s="6"/>
      <c r="C16" s="6"/>
      <c r="D16" s="7" t="s">
        <v>13</v>
      </c>
      <c r="E16" s="7" t="s">
        <v>73</v>
      </c>
      <c r="F16" s="7" t="s">
        <v>13</v>
      </c>
      <c r="G16" s="27"/>
      <c r="H16" s="27"/>
      <c r="I16" s="27"/>
      <c r="J16" s="27"/>
    </row>
    <row r="17" ht="43.5" customHeight="1">
      <c r="A17" s="7" t="s">
        <v>77</v>
      </c>
      <c r="B17" s="6"/>
      <c r="C17" s="6"/>
      <c r="D17" s="7" t="s">
        <v>13</v>
      </c>
      <c r="E17" s="7" t="s">
        <v>73</v>
      </c>
      <c r="F17" s="7" t="s">
        <v>13</v>
      </c>
      <c r="G17" s="27"/>
      <c r="H17" s="27"/>
      <c r="I17" s="27"/>
      <c r="J17" s="27"/>
    </row>
    <row r="18" ht="43.5" customHeight="1">
      <c r="A18" s="7" t="s">
        <v>78</v>
      </c>
      <c r="B18" s="6"/>
      <c r="C18" s="6"/>
      <c r="D18" s="7" t="s">
        <v>13</v>
      </c>
      <c r="E18" s="7" t="s">
        <v>73</v>
      </c>
      <c r="F18" s="7" t="s">
        <v>13</v>
      </c>
      <c r="G18" s="27"/>
      <c r="H18" s="27"/>
      <c r="I18" s="27"/>
      <c r="J18" s="27"/>
    </row>
    <row r="19" ht="43.5" customHeight="1">
      <c r="A19" s="7" t="s">
        <v>79</v>
      </c>
      <c r="B19" s="6"/>
      <c r="C19" s="6"/>
      <c r="D19" s="7" t="s">
        <v>21</v>
      </c>
      <c r="E19" s="7" t="s">
        <v>80</v>
      </c>
      <c r="F19" s="7" t="s">
        <v>21</v>
      </c>
      <c r="G19" s="27"/>
      <c r="H19" s="27"/>
      <c r="I19" s="27"/>
      <c r="J19" s="27"/>
    </row>
    <row r="20" ht="43.5" customHeight="1">
      <c r="A20" s="7" t="s">
        <v>81</v>
      </c>
      <c r="B20" s="6"/>
      <c r="C20" s="6"/>
      <c r="D20" s="7" t="s">
        <v>26</v>
      </c>
      <c r="E20" s="7" t="s">
        <v>80</v>
      </c>
      <c r="F20" s="7" t="s">
        <v>26</v>
      </c>
      <c r="G20" s="27"/>
      <c r="H20" s="27"/>
      <c r="I20" s="27"/>
      <c r="J20" s="27"/>
    </row>
    <row r="21" ht="43.5" customHeight="1">
      <c r="A21" s="7" t="s">
        <v>82</v>
      </c>
      <c r="B21" s="6"/>
      <c r="C21" s="6"/>
      <c r="D21" s="7" t="s">
        <v>26</v>
      </c>
      <c r="E21" s="7" t="s">
        <v>80</v>
      </c>
      <c r="F21" s="7" t="s">
        <v>26</v>
      </c>
      <c r="G21" s="27"/>
      <c r="H21" s="27"/>
      <c r="I21" s="27"/>
      <c r="J21" s="27"/>
    </row>
    <row r="22" ht="43.5" customHeight="1">
      <c r="A22" s="7" t="s">
        <v>83</v>
      </c>
      <c r="B22" s="6"/>
      <c r="C22" s="6"/>
      <c r="D22" s="7" t="s">
        <v>26</v>
      </c>
      <c r="E22" s="7" t="s">
        <v>80</v>
      </c>
      <c r="F22" s="7" t="s">
        <v>26</v>
      </c>
      <c r="G22" s="27"/>
      <c r="H22" s="27"/>
      <c r="I22" s="27"/>
      <c r="J22" s="27"/>
    </row>
    <row r="23" ht="43.5" customHeight="1">
      <c r="A23" s="7" t="s">
        <v>84</v>
      </c>
      <c r="B23" s="6"/>
      <c r="C23" s="6"/>
      <c r="D23" s="7" t="s">
        <v>26</v>
      </c>
      <c r="E23" s="7" t="s">
        <v>80</v>
      </c>
      <c r="F23" s="7" t="s">
        <v>26</v>
      </c>
      <c r="G23" s="27"/>
      <c r="H23" s="27"/>
      <c r="I23" s="27"/>
      <c r="J23" s="27"/>
    </row>
    <row r="24" ht="43.5" customHeight="1">
      <c r="A24" s="7" t="s">
        <v>85</v>
      </c>
      <c r="B24" s="6"/>
      <c r="C24" s="6"/>
      <c r="D24" s="7" t="s">
        <v>26</v>
      </c>
      <c r="E24" s="7" t="s">
        <v>80</v>
      </c>
      <c r="F24" s="7" t="s">
        <v>26</v>
      </c>
      <c r="G24" s="27"/>
      <c r="H24" s="27"/>
      <c r="I24" s="27"/>
      <c r="J24" s="27"/>
    </row>
    <row r="25" ht="43.5" customHeight="1">
      <c r="A25" s="7" t="s">
        <v>86</v>
      </c>
      <c r="B25" s="6"/>
      <c r="C25" s="6"/>
      <c r="D25" s="7" t="s">
        <v>26</v>
      </c>
      <c r="E25" s="7" t="s">
        <v>80</v>
      </c>
      <c r="F25" s="7" t="s">
        <v>26</v>
      </c>
      <c r="G25" s="27"/>
      <c r="H25" s="27"/>
      <c r="I25" s="27"/>
      <c r="J25" s="27"/>
    </row>
    <row r="26" ht="14.25" customHeight="1">
      <c r="A26" s="1" t="s">
        <v>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C1"/>
    <mergeCell ref="D1:E1"/>
    <mergeCell ref="F1:J1"/>
    <mergeCell ref="A2:J2"/>
    <mergeCell ref="A3:J3"/>
    <mergeCell ref="A4:J4"/>
    <mergeCell ref="A5:J5"/>
    <mergeCell ref="A6:J6"/>
    <mergeCell ref="A7:J7"/>
    <mergeCell ref="B8:J8"/>
    <mergeCell ref="B11:J11"/>
    <mergeCell ref="F12:J12"/>
    <mergeCell ref="F13:J13"/>
    <mergeCell ref="F14:J14"/>
    <mergeCell ref="F22:J22"/>
    <mergeCell ref="F23:J23"/>
    <mergeCell ref="F24:J24"/>
    <mergeCell ref="F25:J25"/>
    <mergeCell ref="A26:J26"/>
    <mergeCell ref="F15:J15"/>
    <mergeCell ref="F16:J16"/>
    <mergeCell ref="F17:J17"/>
    <mergeCell ref="F18:J18"/>
    <mergeCell ref="F19:J19"/>
    <mergeCell ref="F20:J20"/>
    <mergeCell ref="F21:J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F1" s="2" t="s">
        <v>87</v>
      </c>
    </row>
    <row r="2">
      <c r="A2" s="28" t="s">
        <v>88</v>
      </c>
      <c r="B2" s="29"/>
      <c r="C2" s="29"/>
      <c r="D2" s="29"/>
      <c r="E2" s="29"/>
      <c r="F2" s="29"/>
      <c r="G2" s="29"/>
      <c r="H2" s="29"/>
      <c r="I2" s="29"/>
    </row>
    <row r="3">
      <c r="A3" s="30" t="s">
        <v>89</v>
      </c>
      <c r="B3" s="29"/>
      <c r="C3" s="29"/>
      <c r="D3" s="29"/>
      <c r="E3" s="29"/>
      <c r="F3" s="29"/>
      <c r="G3" s="29"/>
      <c r="H3" s="29"/>
      <c r="I3" s="29"/>
    </row>
    <row r="4" ht="51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F1:I1"/>
    <mergeCell ref="A2:I2"/>
    <mergeCell ref="A3:I3"/>
    <mergeCell ref="A4:I4"/>
    <mergeCell ref="A5:I32"/>
  </mergeCells>
  <hyperlinks>
    <hyperlink r:id="rId1" location="/share/topology/019c2422-e024-7b3b-8bde-9a0e7ea34022" ref="A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90</v>
      </c>
    </row>
    <row r="2" ht="14.25" customHeight="1">
      <c r="A2" s="1" t="s">
        <v>1</v>
      </c>
    </row>
    <row r="3" ht="45.75" customHeight="1">
      <c r="A3" s="31" t="s">
        <v>54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91</v>
      </c>
    </row>
    <row r="2" ht="14.25" customHeight="1">
      <c r="A2" s="1" t="s">
        <v>1</v>
      </c>
    </row>
    <row r="3" ht="45.75" customHeight="1">
      <c r="A3" s="31" t="s">
        <v>54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92</v>
      </c>
    </row>
    <row r="2" ht="14.25" customHeight="1">
      <c r="A2" s="1" t="s">
        <v>1</v>
      </c>
    </row>
    <row r="3" ht="45.75" customHeight="1">
      <c r="A3" s="31" t="s">
        <v>54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93</v>
      </c>
    </row>
    <row r="2" ht="14.25" customHeight="1">
      <c r="A2" s="1" t="s">
        <v>1</v>
      </c>
    </row>
    <row r="3" ht="45.75" customHeight="1">
      <c r="A3" s="31" t="s">
        <v>54</v>
      </c>
    </row>
    <row r="4" ht="25.5" customHeight="1"/>
    <row r="5" ht="309.0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